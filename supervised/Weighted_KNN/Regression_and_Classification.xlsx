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7A6C48B-625A-4540-AF72-45C7F75B577B}" xr6:coauthVersionLast="47" xr6:coauthVersionMax="47" xr10:uidLastSave="{00000000-0000-0000-0000-000000000000}"/>
  <bookViews>
    <workbookView xWindow="-120" yWindow="-120" windowWidth="24240" windowHeight="13020" activeTab="1" xr2:uid="{AD887EE2-032C-4590-A0E1-CF9725901225}"/>
  </bookViews>
  <sheets>
    <sheet name="Regression" sheetId="1" r:id="rId1"/>
    <sheet name="Class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2" l="1"/>
  <c r="I24" i="2"/>
  <c r="I14" i="2"/>
  <c r="I17" i="2"/>
  <c r="I21" i="2"/>
  <c r="I25" i="2"/>
  <c r="I9" i="2"/>
  <c r="I13" i="2"/>
  <c r="I6" i="2"/>
  <c r="I16" i="2"/>
  <c r="I12" i="2"/>
  <c r="I8" i="2"/>
  <c r="I2" i="2"/>
  <c r="I22" i="2"/>
  <c r="I7" i="2"/>
  <c r="I23" i="2"/>
  <c r="I10" i="2"/>
  <c r="I15" i="2"/>
  <c r="I5" i="2"/>
  <c r="I3" i="2"/>
  <c r="I20" i="2"/>
  <c r="I19" i="2"/>
  <c r="J3" i="2"/>
  <c r="I4" i="2"/>
  <c r="I11" i="2"/>
  <c r="L10" i="1"/>
  <c r="L8" i="1"/>
  <c r="K8" i="1"/>
  <c r="L3" i="1"/>
  <c r="L4" i="1"/>
  <c r="L5" i="1"/>
  <c r="L6" i="1"/>
  <c r="L2" i="1"/>
  <c r="K3" i="1"/>
  <c r="K4" i="1"/>
  <c r="K5" i="1"/>
  <c r="K6" i="1"/>
  <c r="K2" i="1"/>
  <c r="J4" i="1"/>
  <c r="J5" i="1"/>
  <c r="J6" i="1"/>
  <c r="J7" i="1"/>
  <c r="J8" i="1"/>
  <c r="J3" i="1"/>
  <c r="I14" i="1"/>
  <c r="I3" i="1"/>
  <c r="I10" i="1"/>
  <c r="I5" i="1"/>
  <c r="I20" i="1"/>
  <c r="I18" i="1"/>
  <c r="I15" i="1"/>
  <c r="I4" i="1"/>
  <c r="I22" i="1"/>
  <c r="I21" i="1"/>
  <c r="I23" i="1"/>
  <c r="I6" i="1"/>
  <c r="I11" i="1"/>
  <c r="I16" i="1"/>
  <c r="I7" i="1"/>
  <c r="I17" i="1"/>
  <c r="I19" i="1"/>
  <c r="I24" i="1"/>
  <c r="I13" i="1"/>
  <c r="I25" i="1"/>
  <c r="I8" i="1"/>
  <c r="I9" i="1"/>
  <c r="I12" i="1"/>
  <c r="I2" i="1"/>
  <c r="K5" i="2" l="1"/>
  <c r="K6" i="2"/>
  <c r="K3" i="2"/>
  <c r="L3" i="2" s="1"/>
  <c r="K4" i="2"/>
  <c r="K2" i="2"/>
  <c r="L2" i="2" s="1"/>
  <c r="J4" i="2"/>
  <c r="J5" i="2" s="1"/>
  <c r="J6" i="2" s="1"/>
  <c r="J7" i="2" s="1"/>
  <c r="J8" i="2" s="1"/>
  <c r="J9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L4" i="2" l="1"/>
</calcChain>
</file>

<file path=xl/sharedStrings.xml><?xml version="1.0" encoding="utf-8"?>
<sst xmlns="http://schemas.openxmlformats.org/spreadsheetml/2006/main" count="23" uniqueCount="14">
  <si>
    <t>X1</t>
  </si>
  <si>
    <t>X2</t>
  </si>
  <si>
    <t>X3</t>
  </si>
  <si>
    <t>X4</t>
  </si>
  <si>
    <t>X5</t>
  </si>
  <si>
    <t>X6</t>
  </si>
  <si>
    <t>X7</t>
  </si>
  <si>
    <t>Age</t>
  </si>
  <si>
    <t>Distance</t>
  </si>
  <si>
    <t>Rank</t>
  </si>
  <si>
    <t>W</t>
  </si>
  <si>
    <t>W*age</t>
  </si>
  <si>
    <t>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</si>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</sst>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305C-0193-415C-86EF-A03255750643}">
  <dimension ref="A1:T26"/>
  <sheetViews>
    <sheetView workbookViewId="0">
      <selection sqref="A1:T25"/>
    </sheetView>
  </sheetViews>
  <sheetFormatPr defaultRowHeight="15" x14ac:dyDescent="0.25"/>
  <cols>
    <col min="10" max="10" width="9.140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>
        <v>10</v>
      </c>
      <c r="O1" s="1">
        <v>12</v>
      </c>
      <c r="P1" s="1">
        <v>9</v>
      </c>
      <c r="Q1" s="1">
        <v>0</v>
      </c>
      <c r="R1" s="1">
        <v>6</v>
      </c>
      <c r="S1" s="1">
        <v>2</v>
      </c>
      <c r="T1" s="1">
        <v>10</v>
      </c>
    </row>
    <row r="2" spans="1:20" x14ac:dyDescent="0.25">
      <c r="A2" s="1">
        <v>11</v>
      </c>
      <c r="B2" s="1">
        <v>14</v>
      </c>
      <c r="C2" s="1">
        <v>9</v>
      </c>
      <c r="D2" s="1">
        <v>0</v>
      </c>
      <c r="E2" s="1">
        <v>7</v>
      </c>
      <c r="F2" s="1">
        <v>2</v>
      </c>
      <c r="G2" s="1">
        <v>9</v>
      </c>
      <c r="H2" s="3">
        <v>32</v>
      </c>
      <c r="I2" s="4">
        <f>SQRT((A2-N2)^2+(B2-O2)^2+(C2-P2)^2+(D2-Q2)^2+(E2-R2)^2+(F2-S2)^2+(G2-T2)^2)</f>
        <v>2.6457513110645907</v>
      </c>
      <c r="J2" s="3">
        <v>1</v>
      </c>
      <c r="K2">
        <f>1/I2</f>
        <v>0.3779644730092272</v>
      </c>
      <c r="L2">
        <f>H2*K2</f>
        <v>12.09486313629527</v>
      </c>
      <c r="N2" s="1">
        <v>10</v>
      </c>
      <c r="O2" s="1">
        <v>12</v>
      </c>
      <c r="P2" s="1">
        <v>9</v>
      </c>
      <c r="Q2" s="1">
        <v>0</v>
      </c>
      <c r="R2" s="1">
        <v>6</v>
      </c>
      <c r="S2" s="1">
        <v>2</v>
      </c>
      <c r="T2" s="1">
        <v>10</v>
      </c>
    </row>
    <row r="3" spans="1:20" x14ac:dyDescent="0.25">
      <c r="A3" s="1">
        <v>12</v>
      </c>
      <c r="B3" s="1">
        <v>11</v>
      </c>
      <c r="C3" s="1">
        <v>9</v>
      </c>
      <c r="D3" s="1">
        <v>10</v>
      </c>
      <c r="E3" s="1">
        <v>7</v>
      </c>
      <c r="F3" s="1">
        <v>7</v>
      </c>
      <c r="G3" s="1">
        <v>12</v>
      </c>
      <c r="H3" s="3">
        <v>53</v>
      </c>
      <c r="I3" s="4">
        <f>SQRT((A3-N3)^2+(B3-O3)^2+(C3-P3)^2+(D3-Q3)^2+(E3-R3)^2+(F3-S3)^2+(G3-T3)^2)</f>
        <v>11.61895003862225</v>
      </c>
      <c r="J3" s="5">
        <f>J2+1</f>
        <v>2</v>
      </c>
      <c r="K3">
        <f t="shared" ref="K3:K6" si="0">1/I3</f>
        <v>8.6066296582387042E-2</v>
      </c>
      <c r="L3">
        <f t="shared" ref="L3:L6" si="1">H3*K3</f>
        <v>4.5615137188665136</v>
      </c>
      <c r="N3" s="1">
        <v>10</v>
      </c>
      <c r="O3" s="1">
        <v>12</v>
      </c>
      <c r="P3" s="1">
        <v>9</v>
      </c>
      <c r="Q3" s="1">
        <v>0</v>
      </c>
      <c r="R3" s="1">
        <v>6</v>
      </c>
      <c r="S3" s="1">
        <v>2</v>
      </c>
      <c r="T3" s="1">
        <v>10</v>
      </c>
    </row>
    <row r="4" spans="1:20" x14ac:dyDescent="0.25">
      <c r="A4" s="1">
        <v>12</v>
      </c>
      <c r="B4" s="1">
        <v>12</v>
      </c>
      <c r="C4" s="1">
        <v>9</v>
      </c>
      <c r="D4" s="1">
        <v>0</v>
      </c>
      <c r="E4" s="1">
        <v>14</v>
      </c>
      <c r="F4" s="1">
        <v>7</v>
      </c>
      <c r="G4" s="1">
        <v>2</v>
      </c>
      <c r="H4" s="3">
        <v>62</v>
      </c>
      <c r="I4" s="4">
        <f>SQRT((A4-N4)^2+(B4-O4)^2+(C4-P4)^2+(D4-Q4)^2+(E4-R4)^2+(F4-S4)^2+(G4-T4)^2)</f>
        <v>12.529964086141668</v>
      </c>
      <c r="J4" s="5">
        <f t="shared" ref="J4:J25" si="2">J3+1</f>
        <v>3</v>
      </c>
      <c r="K4">
        <f t="shared" si="0"/>
        <v>7.9808688446762213E-2</v>
      </c>
      <c r="L4">
        <f t="shared" si="1"/>
        <v>4.9481386836992574</v>
      </c>
      <c r="N4" s="1">
        <v>10</v>
      </c>
      <c r="O4" s="1">
        <v>12</v>
      </c>
      <c r="P4" s="1">
        <v>9</v>
      </c>
      <c r="Q4" s="1">
        <v>0</v>
      </c>
      <c r="R4" s="1">
        <v>6</v>
      </c>
      <c r="S4" s="1">
        <v>2</v>
      </c>
      <c r="T4" s="1">
        <v>10</v>
      </c>
    </row>
    <row r="5" spans="1:20" x14ac:dyDescent="0.25">
      <c r="A5" s="1">
        <v>18</v>
      </c>
      <c r="B5" s="1">
        <v>19</v>
      </c>
      <c r="C5" s="1">
        <v>11</v>
      </c>
      <c r="D5" s="1">
        <v>2</v>
      </c>
      <c r="E5" s="1">
        <v>5</v>
      </c>
      <c r="F5" s="1">
        <v>6</v>
      </c>
      <c r="G5" s="1">
        <v>18</v>
      </c>
      <c r="H5" s="3">
        <v>70</v>
      </c>
      <c r="I5" s="4">
        <f>SQRT((A5-N5)^2+(B5-O5)^2+(C5-P5)^2+(D5-Q5)^2+(E5-R5)^2+(F5-S5)^2+(G5-T5)^2)</f>
        <v>14.212670403551895</v>
      </c>
      <c r="J5" s="5">
        <f t="shared" si="2"/>
        <v>4</v>
      </c>
      <c r="K5">
        <f t="shared" si="0"/>
        <v>7.0359754473029182E-2</v>
      </c>
      <c r="L5">
        <f t="shared" si="1"/>
        <v>4.925182813112043</v>
      </c>
      <c r="N5" s="1">
        <v>10</v>
      </c>
      <c r="O5" s="1">
        <v>12</v>
      </c>
      <c r="P5" s="1">
        <v>9</v>
      </c>
      <c r="Q5" s="1">
        <v>0</v>
      </c>
      <c r="R5" s="1">
        <v>6</v>
      </c>
      <c r="S5" s="1">
        <v>2</v>
      </c>
      <c r="T5" s="1">
        <v>10</v>
      </c>
    </row>
    <row r="6" spans="1:20" x14ac:dyDescent="0.25">
      <c r="A6" s="1">
        <v>11</v>
      </c>
      <c r="B6" s="1">
        <v>4</v>
      </c>
      <c r="C6" s="1">
        <v>12</v>
      </c>
      <c r="D6" s="1">
        <v>12</v>
      </c>
      <c r="E6" s="1">
        <v>4</v>
      </c>
      <c r="F6" s="1">
        <v>4</v>
      </c>
      <c r="G6" s="1">
        <v>5</v>
      </c>
      <c r="H6" s="3">
        <v>67</v>
      </c>
      <c r="I6" s="4">
        <f>SQRT((A6-N6)^2+(B6-O6)^2+(C6-P6)^2+(D6-Q6)^2+(E6-R6)^2+(F6-S6)^2+(G6-T6)^2)</f>
        <v>15.842979517754859</v>
      </c>
      <c r="J6" s="5">
        <f t="shared" si="2"/>
        <v>5</v>
      </c>
      <c r="K6">
        <f t="shared" si="0"/>
        <v>6.3119440309780311E-2</v>
      </c>
      <c r="L6">
        <f t="shared" si="1"/>
        <v>4.2290025007552812</v>
      </c>
      <c r="N6" s="1">
        <v>10</v>
      </c>
      <c r="O6" s="1">
        <v>12</v>
      </c>
      <c r="P6" s="1">
        <v>9</v>
      </c>
      <c r="Q6" s="1">
        <v>0</v>
      </c>
      <c r="R6" s="1">
        <v>6</v>
      </c>
      <c r="S6" s="1">
        <v>2</v>
      </c>
      <c r="T6" s="1">
        <v>10</v>
      </c>
    </row>
    <row r="7" spans="1:20" x14ac:dyDescent="0.25">
      <c r="A7" s="1">
        <v>15</v>
      </c>
      <c r="B7" s="1">
        <v>1</v>
      </c>
      <c r="C7" s="1">
        <v>4</v>
      </c>
      <c r="D7" s="1">
        <v>5</v>
      </c>
      <c r="E7" s="1">
        <v>12</v>
      </c>
      <c r="F7" s="1">
        <v>7</v>
      </c>
      <c r="G7" s="1">
        <v>7</v>
      </c>
      <c r="H7" s="1">
        <v>44</v>
      </c>
      <c r="I7">
        <f>SQRT((A7-N7)^2+(B7-O7)^2+(C7-P7)^2+(D7-Q7)^2+(E7-R7)^2+(F7-S7)^2+(G7-T7)^2)</f>
        <v>16.30950643030009</v>
      </c>
      <c r="J7" s="2">
        <f t="shared" si="2"/>
        <v>6</v>
      </c>
      <c r="N7" s="1">
        <v>10</v>
      </c>
      <c r="O7" s="1">
        <v>12</v>
      </c>
      <c r="P7" s="1">
        <v>9</v>
      </c>
      <c r="Q7" s="1">
        <v>0</v>
      </c>
      <c r="R7" s="1">
        <v>6</v>
      </c>
      <c r="S7" s="1">
        <v>2</v>
      </c>
      <c r="T7" s="1">
        <v>10</v>
      </c>
    </row>
    <row r="8" spans="1:20" x14ac:dyDescent="0.25">
      <c r="A8" s="1">
        <v>5</v>
      </c>
      <c r="B8" s="1">
        <v>2</v>
      </c>
      <c r="C8" s="1">
        <v>12</v>
      </c>
      <c r="D8" s="1">
        <v>5</v>
      </c>
      <c r="E8" s="1">
        <v>14</v>
      </c>
      <c r="F8" s="1">
        <v>8</v>
      </c>
      <c r="G8" s="1">
        <v>14</v>
      </c>
      <c r="H8" s="1">
        <v>61</v>
      </c>
      <c r="I8">
        <f>SQRT((A8-N8)^2+(B8-O8)^2+(C8-P8)^2+(D8-Q8)^2+(E8-R8)^2+(F8-S8)^2+(G8-T8)^2)</f>
        <v>16.583123951777001</v>
      </c>
      <c r="J8" s="2">
        <f t="shared" si="2"/>
        <v>7</v>
      </c>
      <c r="K8">
        <f>SUM(K2:K6)</f>
        <v>0.67731865282118608</v>
      </c>
      <c r="L8">
        <f>SUM(L2:L6)</f>
        <v>30.758700852728371</v>
      </c>
      <c r="N8" s="1">
        <v>10</v>
      </c>
      <c r="O8" s="1">
        <v>12</v>
      </c>
      <c r="P8" s="1">
        <v>9</v>
      </c>
      <c r="Q8" s="1">
        <v>0</v>
      </c>
      <c r="R8" s="1">
        <v>6</v>
      </c>
      <c r="S8" s="1">
        <v>2</v>
      </c>
      <c r="T8" s="1">
        <v>10</v>
      </c>
    </row>
    <row r="9" spans="1:20" x14ac:dyDescent="0.25">
      <c r="A9" s="1">
        <v>0</v>
      </c>
      <c r="B9" s="1">
        <v>6</v>
      </c>
      <c r="C9" s="1">
        <v>13</v>
      </c>
      <c r="D9" s="1">
        <v>12</v>
      </c>
      <c r="E9" s="1">
        <v>8</v>
      </c>
      <c r="F9" s="1">
        <v>4</v>
      </c>
      <c r="G9" s="1">
        <v>11</v>
      </c>
      <c r="H9" s="1">
        <v>66</v>
      </c>
      <c r="I9">
        <f>SQRT((A9-N9)^2+(B9-O9)^2+(C9-P9)^2+(D9-Q9)^2+(E9-R9)^2+(F9-S9)^2+(G9-T9)^2)</f>
        <v>17.464249196572979</v>
      </c>
      <c r="J9" s="2">
        <f t="shared" si="2"/>
        <v>8</v>
      </c>
      <c r="N9" s="1">
        <v>10</v>
      </c>
      <c r="O9" s="1">
        <v>12</v>
      </c>
      <c r="P9" s="1">
        <v>9</v>
      </c>
      <c r="Q9" s="1">
        <v>0</v>
      </c>
      <c r="R9" s="1">
        <v>6</v>
      </c>
      <c r="S9" s="1">
        <v>2</v>
      </c>
      <c r="T9" s="1">
        <v>10</v>
      </c>
    </row>
    <row r="10" spans="1:20" x14ac:dyDescent="0.25">
      <c r="A10" s="1">
        <v>0</v>
      </c>
      <c r="B10" s="1">
        <v>20</v>
      </c>
      <c r="C10" s="1">
        <v>15</v>
      </c>
      <c r="D10" s="1">
        <v>7</v>
      </c>
      <c r="E10" s="1">
        <v>13</v>
      </c>
      <c r="F10" s="1">
        <v>2</v>
      </c>
      <c r="G10" s="1">
        <v>16</v>
      </c>
      <c r="H10" s="1">
        <v>79</v>
      </c>
      <c r="I10">
        <f>SQRT((A10-N10)^2+(B10-O10)^2+(C10-P10)^2+(D10-Q10)^2+(E10-R10)^2+(F10-S10)^2+(G10-T10)^2)</f>
        <v>18.275666882497067</v>
      </c>
      <c r="J10" s="2">
        <f t="shared" si="2"/>
        <v>9</v>
      </c>
      <c r="L10">
        <f>L8/K8</f>
        <v>45.412452063163173</v>
      </c>
      <c r="N10" s="1">
        <v>10</v>
      </c>
      <c r="O10" s="1">
        <v>12</v>
      </c>
      <c r="P10" s="1">
        <v>9</v>
      </c>
      <c r="Q10" s="1">
        <v>0</v>
      </c>
      <c r="R10" s="1">
        <v>6</v>
      </c>
      <c r="S10" s="1">
        <v>2</v>
      </c>
      <c r="T10" s="1">
        <v>10</v>
      </c>
    </row>
    <row r="11" spans="1:20" x14ac:dyDescent="0.25">
      <c r="A11" s="1">
        <v>14</v>
      </c>
      <c r="B11" s="1">
        <v>17</v>
      </c>
      <c r="C11" s="1">
        <v>7</v>
      </c>
      <c r="D11" s="1">
        <v>14</v>
      </c>
      <c r="E11" s="1">
        <v>4</v>
      </c>
      <c r="F11" s="1">
        <v>10</v>
      </c>
      <c r="G11" s="1">
        <v>16</v>
      </c>
      <c r="H11" s="1">
        <v>42</v>
      </c>
      <c r="I11">
        <f>SQRT((A11-N11)^2+(B11-O11)^2+(C11-P11)^2+(D11-Q11)^2+(E11-R11)^2+(F11-S11)^2+(G11-T11)^2)</f>
        <v>18.574175621006709</v>
      </c>
      <c r="J11" s="2">
        <f t="shared" si="2"/>
        <v>10</v>
      </c>
      <c r="N11" s="1">
        <v>10</v>
      </c>
      <c r="O11" s="1">
        <v>12</v>
      </c>
      <c r="P11" s="1">
        <v>9</v>
      </c>
      <c r="Q11" s="1">
        <v>0</v>
      </c>
      <c r="R11" s="1">
        <v>6</v>
      </c>
      <c r="S11" s="1">
        <v>2</v>
      </c>
      <c r="T11" s="1">
        <v>10</v>
      </c>
    </row>
    <row r="12" spans="1:20" x14ac:dyDescent="0.25">
      <c r="A12" s="1">
        <v>4</v>
      </c>
      <c r="B12" s="1">
        <v>9</v>
      </c>
      <c r="C12" s="1">
        <v>18</v>
      </c>
      <c r="D12" s="1">
        <v>7</v>
      </c>
      <c r="E12" s="1">
        <v>6</v>
      </c>
      <c r="F12" s="1">
        <v>13</v>
      </c>
      <c r="G12" s="1">
        <v>19</v>
      </c>
      <c r="H12" s="1">
        <v>37</v>
      </c>
      <c r="I12">
        <f>SQRT((A12-N12)^2+(B12-O12)^2+(C12-P12)^2+(D12-Q12)^2+(E12-R12)^2+(F12-S12)^2+(G12-T12)^2)</f>
        <v>19.416487838947599</v>
      </c>
      <c r="J12" s="2">
        <f t="shared" si="2"/>
        <v>11</v>
      </c>
      <c r="N12" s="1">
        <v>10</v>
      </c>
      <c r="O12" s="1">
        <v>12</v>
      </c>
      <c r="P12" s="1">
        <v>9</v>
      </c>
      <c r="Q12" s="1">
        <v>0</v>
      </c>
      <c r="R12" s="1">
        <v>6</v>
      </c>
      <c r="S12" s="1">
        <v>2</v>
      </c>
      <c r="T12" s="1">
        <v>10</v>
      </c>
    </row>
    <row r="13" spans="1:20" x14ac:dyDescent="0.25">
      <c r="A13" s="1">
        <v>17</v>
      </c>
      <c r="B13" s="1">
        <v>6</v>
      </c>
      <c r="C13" s="1">
        <v>6</v>
      </c>
      <c r="D13" s="1">
        <v>17</v>
      </c>
      <c r="E13" s="1">
        <v>6</v>
      </c>
      <c r="F13" s="1">
        <v>2</v>
      </c>
      <c r="G13" s="1">
        <v>10</v>
      </c>
      <c r="H13" s="1">
        <v>28</v>
      </c>
      <c r="I13">
        <f>SQRT((A13-N13)^2+(B13-O13)^2+(C13-P13)^2+(D13-Q13)^2+(E13-R13)^2+(F13-S13)^2+(G13-T13)^2)</f>
        <v>19.570385790780925</v>
      </c>
      <c r="J13" s="2">
        <f t="shared" si="2"/>
        <v>12</v>
      </c>
      <c r="N13" s="1">
        <v>10</v>
      </c>
      <c r="O13" s="1">
        <v>12</v>
      </c>
      <c r="P13" s="1">
        <v>9</v>
      </c>
      <c r="Q13" s="1">
        <v>0</v>
      </c>
      <c r="R13" s="1">
        <v>6</v>
      </c>
      <c r="S13" s="1">
        <v>2</v>
      </c>
      <c r="T13" s="1">
        <v>10</v>
      </c>
    </row>
    <row r="14" spans="1:20" x14ac:dyDescent="0.25">
      <c r="A14" s="1">
        <v>8</v>
      </c>
      <c r="B14" s="1">
        <v>6</v>
      </c>
      <c r="C14" s="1">
        <v>8</v>
      </c>
      <c r="D14" s="1">
        <v>12</v>
      </c>
      <c r="E14" s="1">
        <v>1</v>
      </c>
      <c r="F14" s="1">
        <v>14</v>
      </c>
      <c r="G14" s="1">
        <v>16</v>
      </c>
      <c r="H14" s="1">
        <v>76</v>
      </c>
      <c r="I14">
        <f>SQRT((A14-N14)^2+(B14-O14)^2+(C14-P14)^2+(D14-Q14)^2+(E14-R14)^2+(F14-S14)^2+(G14-T14)^2)</f>
        <v>19.748417658131498</v>
      </c>
      <c r="J14" s="2">
        <f t="shared" si="2"/>
        <v>13</v>
      </c>
      <c r="N14" s="1">
        <v>10</v>
      </c>
      <c r="O14" s="1">
        <v>12</v>
      </c>
      <c r="P14" s="1">
        <v>9</v>
      </c>
      <c r="Q14" s="1">
        <v>0</v>
      </c>
      <c r="R14" s="1">
        <v>6</v>
      </c>
      <c r="S14" s="1">
        <v>2</v>
      </c>
      <c r="T14" s="1">
        <v>10</v>
      </c>
    </row>
    <row r="15" spans="1:20" x14ac:dyDescent="0.25">
      <c r="A15" s="1">
        <v>7</v>
      </c>
      <c r="B15" s="1">
        <v>2</v>
      </c>
      <c r="C15" s="1">
        <v>3</v>
      </c>
      <c r="D15" s="1">
        <v>7</v>
      </c>
      <c r="E15" s="1">
        <v>19</v>
      </c>
      <c r="F15" s="1">
        <v>4</v>
      </c>
      <c r="G15" s="1">
        <v>17</v>
      </c>
      <c r="H15" s="1">
        <v>45</v>
      </c>
      <c r="I15">
        <f>SQRT((A15-N15)^2+(B15-O15)^2+(C15-P15)^2+(D15-Q15)^2+(E15-R15)^2+(F15-S15)^2+(G15-T15)^2)</f>
        <v>20.396078054371138</v>
      </c>
      <c r="J15" s="2">
        <f t="shared" si="2"/>
        <v>14</v>
      </c>
      <c r="N15" s="1">
        <v>10</v>
      </c>
      <c r="O15" s="1">
        <v>12</v>
      </c>
      <c r="P15" s="1">
        <v>9</v>
      </c>
      <c r="Q15" s="1">
        <v>0</v>
      </c>
      <c r="R15" s="1">
        <v>6</v>
      </c>
      <c r="S15" s="1">
        <v>2</v>
      </c>
      <c r="T15" s="1">
        <v>10</v>
      </c>
    </row>
    <row r="16" spans="1:20" x14ac:dyDescent="0.25">
      <c r="A16" s="1">
        <v>2</v>
      </c>
      <c r="B16" s="1">
        <v>3</v>
      </c>
      <c r="C16" s="1">
        <v>8</v>
      </c>
      <c r="D16" s="1">
        <v>10</v>
      </c>
      <c r="E16" s="1">
        <v>13</v>
      </c>
      <c r="F16" s="1">
        <v>13</v>
      </c>
      <c r="G16" s="1">
        <v>12</v>
      </c>
      <c r="H16" s="1">
        <v>26</v>
      </c>
      <c r="I16">
        <f>SQRT((A16-N16)^2+(B16-O16)^2+(C16-P16)^2+(D16-Q16)^2+(E16-R16)^2+(F16-S16)^2+(G16-T16)^2)</f>
        <v>20.493901531919196</v>
      </c>
      <c r="J16" s="2">
        <f t="shared" si="2"/>
        <v>15</v>
      </c>
      <c r="N16" s="1">
        <v>10</v>
      </c>
      <c r="O16" s="1">
        <v>12</v>
      </c>
      <c r="P16" s="1">
        <v>9</v>
      </c>
      <c r="Q16" s="1">
        <v>0</v>
      </c>
      <c r="R16" s="1">
        <v>6</v>
      </c>
      <c r="S16" s="1">
        <v>2</v>
      </c>
      <c r="T16" s="1">
        <v>10</v>
      </c>
    </row>
    <row r="17" spans="1:20" x14ac:dyDescent="0.25">
      <c r="A17" s="1">
        <v>13</v>
      </c>
      <c r="B17" s="1">
        <v>3</v>
      </c>
      <c r="C17" s="1">
        <v>14</v>
      </c>
      <c r="D17" s="1">
        <v>13</v>
      </c>
      <c r="E17" s="1">
        <v>18</v>
      </c>
      <c r="F17" s="1">
        <v>2</v>
      </c>
      <c r="G17" s="1">
        <v>10</v>
      </c>
      <c r="H17" s="1">
        <v>58</v>
      </c>
      <c r="I17">
        <f>SQRT((A17-N17)^2+(B17-O17)^2+(C17-P17)^2+(D17-Q17)^2+(E17-R17)^2+(F17-S17)^2+(G17-T17)^2)</f>
        <v>20.688160865577203</v>
      </c>
      <c r="J17" s="2">
        <f t="shared" si="2"/>
        <v>16</v>
      </c>
      <c r="N17" s="1">
        <v>10</v>
      </c>
      <c r="O17" s="1">
        <v>12</v>
      </c>
      <c r="P17" s="1">
        <v>9</v>
      </c>
      <c r="Q17" s="1">
        <v>0</v>
      </c>
      <c r="R17" s="1">
        <v>6</v>
      </c>
      <c r="S17" s="1">
        <v>2</v>
      </c>
      <c r="T17" s="1">
        <v>10</v>
      </c>
    </row>
    <row r="18" spans="1:20" x14ac:dyDescent="0.25">
      <c r="A18" s="1">
        <v>9</v>
      </c>
      <c r="B18" s="1">
        <v>4</v>
      </c>
      <c r="C18" s="1">
        <v>8</v>
      </c>
      <c r="D18" s="1">
        <v>9</v>
      </c>
      <c r="E18" s="1">
        <v>18</v>
      </c>
      <c r="F18" s="1">
        <v>14</v>
      </c>
      <c r="G18" s="1">
        <v>15</v>
      </c>
      <c r="H18" s="1">
        <v>76</v>
      </c>
      <c r="I18">
        <f>SQRT((A18-N18)^2+(B18-O18)^2+(C18-P18)^2+(D18-Q18)^2+(E18-R18)^2+(F18-S18)^2+(G18-T18)^2)</f>
        <v>21.447610589527216</v>
      </c>
      <c r="J18" s="2">
        <f t="shared" si="2"/>
        <v>17</v>
      </c>
      <c r="N18" s="1">
        <v>10</v>
      </c>
      <c r="O18" s="1">
        <v>12</v>
      </c>
      <c r="P18" s="1">
        <v>9</v>
      </c>
      <c r="Q18" s="1">
        <v>0</v>
      </c>
      <c r="R18" s="1">
        <v>6</v>
      </c>
      <c r="S18" s="1">
        <v>2</v>
      </c>
      <c r="T18" s="1">
        <v>10</v>
      </c>
    </row>
    <row r="19" spans="1:20" x14ac:dyDescent="0.25">
      <c r="A19" s="1">
        <v>5</v>
      </c>
      <c r="B19" s="1">
        <v>9</v>
      </c>
      <c r="C19" s="1">
        <v>5</v>
      </c>
      <c r="D19" s="1">
        <v>16</v>
      </c>
      <c r="E19" s="1">
        <v>1</v>
      </c>
      <c r="F19" s="1">
        <v>12</v>
      </c>
      <c r="G19" s="1">
        <v>1</v>
      </c>
      <c r="H19" s="1">
        <v>68</v>
      </c>
      <c r="I19">
        <f>SQRT((A19-N19)^2+(B19-O19)^2+(C19-P19)^2+(D19-Q19)^2+(E19-R19)^2+(F19-S19)^2+(G19-T19)^2)</f>
        <v>22.627416997969522</v>
      </c>
      <c r="J19" s="2">
        <f t="shared" si="2"/>
        <v>18</v>
      </c>
      <c r="N19" s="1">
        <v>10</v>
      </c>
      <c r="O19" s="1">
        <v>12</v>
      </c>
      <c r="P19" s="1">
        <v>9</v>
      </c>
      <c r="Q19" s="1">
        <v>0</v>
      </c>
      <c r="R19" s="1">
        <v>6</v>
      </c>
      <c r="S19" s="1">
        <v>2</v>
      </c>
      <c r="T19" s="1">
        <v>10</v>
      </c>
    </row>
    <row r="20" spans="1:20" x14ac:dyDescent="0.25">
      <c r="A20" s="1">
        <v>2</v>
      </c>
      <c r="B20" s="1">
        <v>14</v>
      </c>
      <c r="C20" s="1">
        <v>18</v>
      </c>
      <c r="D20" s="1">
        <v>2</v>
      </c>
      <c r="E20" s="1">
        <v>17</v>
      </c>
      <c r="F20" s="1">
        <v>16</v>
      </c>
      <c r="G20" s="1">
        <v>18</v>
      </c>
      <c r="H20" s="1">
        <v>79</v>
      </c>
      <c r="I20">
        <f>SQRT((A20-N20)^2+(B20-O20)^2+(C20-P20)^2+(D20-Q20)^2+(E20-R20)^2+(F20-S20)^2+(G20-T20)^2)</f>
        <v>23.108440016582687</v>
      </c>
      <c r="J20" s="2">
        <f t="shared" si="2"/>
        <v>19</v>
      </c>
      <c r="N20" s="1">
        <v>10</v>
      </c>
      <c r="O20" s="1">
        <v>12</v>
      </c>
      <c r="P20" s="1">
        <v>9</v>
      </c>
      <c r="Q20" s="1">
        <v>0</v>
      </c>
      <c r="R20" s="1">
        <v>6</v>
      </c>
      <c r="S20" s="1">
        <v>2</v>
      </c>
      <c r="T20" s="1">
        <v>10</v>
      </c>
    </row>
    <row r="21" spans="1:20" x14ac:dyDescent="0.25">
      <c r="A21" s="1">
        <v>14</v>
      </c>
      <c r="B21" s="1">
        <v>8</v>
      </c>
      <c r="C21" s="1">
        <v>20</v>
      </c>
      <c r="D21" s="1">
        <v>8</v>
      </c>
      <c r="E21" s="1">
        <v>20</v>
      </c>
      <c r="F21" s="1">
        <v>9</v>
      </c>
      <c r="G21" s="1">
        <v>1</v>
      </c>
      <c r="H21" s="1">
        <v>56</v>
      </c>
      <c r="I21">
        <f>SQRT((A21-N21)^2+(B21-O21)^2+(C21-P21)^2+(D21-Q21)^2+(E21-R21)^2+(F21-S21)^2+(G21-T21)^2)</f>
        <v>23.302360395462088</v>
      </c>
      <c r="J21" s="2">
        <f t="shared" si="2"/>
        <v>20</v>
      </c>
      <c r="N21" s="1">
        <v>10</v>
      </c>
      <c r="O21" s="1">
        <v>12</v>
      </c>
      <c r="P21" s="1">
        <v>9</v>
      </c>
      <c r="Q21" s="1">
        <v>0</v>
      </c>
      <c r="R21" s="1">
        <v>6</v>
      </c>
      <c r="S21" s="1">
        <v>2</v>
      </c>
      <c r="T21" s="1">
        <v>10</v>
      </c>
    </row>
    <row r="22" spans="1:20" x14ac:dyDescent="0.25">
      <c r="A22" s="1">
        <v>0</v>
      </c>
      <c r="B22" s="1">
        <v>2</v>
      </c>
      <c r="C22" s="1">
        <v>10</v>
      </c>
      <c r="D22" s="1">
        <v>15</v>
      </c>
      <c r="E22" s="1">
        <v>0</v>
      </c>
      <c r="F22" s="1">
        <v>4</v>
      </c>
      <c r="G22" s="1">
        <v>20</v>
      </c>
      <c r="H22" s="1">
        <v>62</v>
      </c>
      <c r="I22">
        <f>SQRT((A22-N22)^2+(B22-O22)^2+(C22-P22)^2+(D22-Q22)^2+(E22-R22)^2+(F22-S22)^2+(G22-T22)^2)</f>
        <v>23.790754506740637</v>
      </c>
      <c r="J22" s="2">
        <f t="shared" si="2"/>
        <v>21</v>
      </c>
      <c r="N22" s="1">
        <v>10</v>
      </c>
      <c r="O22" s="1">
        <v>12</v>
      </c>
      <c r="P22" s="1">
        <v>9</v>
      </c>
      <c r="Q22" s="1">
        <v>0</v>
      </c>
      <c r="R22" s="1">
        <v>6</v>
      </c>
      <c r="S22" s="1">
        <v>2</v>
      </c>
      <c r="T22" s="1">
        <v>10</v>
      </c>
    </row>
    <row r="23" spans="1:20" x14ac:dyDescent="0.25">
      <c r="A23" s="1">
        <v>17</v>
      </c>
      <c r="B23" s="1">
        <v>2</v>
      </c>
      <c r="C23" s="1">
        <v>13</v>
      </c>
      <c r="D23" s="1">
        <v>11</v>
      </c>
      <c r="E23" s="1">
        <v>17</v>
      </c>
      <c r="F23" s="1">
        <v>16</v>
      </c>
      <c r="G23" s="1">
        <v>4</v>
      </c>
      <c r="H23" s="1">
        <v>73</v>
      </c>
      <c r="I23">
        <f>SQRT((A23-N23)^2+(B23-O23)^2+(C23-P23)^2+(D23-Q23)^2+(E23-R23)^2+(F23-S23)^2+(G23-T23)^2)</f>
        <v>25.278449319529077</v>
      </c>
      <c r="J23" s="2">
        <f t="shared" si="2"/>
        <v>22</v>
      </c>
      <c r="N23" s="1">
        <v>10</v>
      </c>
      <c r="O23" s="1">
        <v>12</v>
      </c>
      <c r="P23" s="1">
        <v>9</v>
      </c>
      <c r="Q23" s="1">
        <v>0</v>
      </c>
      <c r="R23" s="1">
        <v>6</v>
      </c>
      <c r="S23" s="1">
        <v>2</v>
      </c>
      <c r="T23" s="1">
        <v>10</v>
      </c>
    </row>
    <row r="24" spans="1:20" x14ac:dyDescent="0.25">
      <c r="A24" s="1">
        <v>8</v>
      </c>
      <c r="B24" s="1">
        <v>5</v>
      </c>
      <c r="C24" s="1">
        <v>15</v>
      </c>
      <c r="D24" s="1">
        <v>5</v>
      </c>
      <c r="E24" s="1">
        <v>20</v>
      </c>
      <c r="F24" s="1">
        <v>18</v>
      </c>
      <c r="G24" s="1">
        <v>0</v>
      </c>
      <c r="H24" s="1">
        <v>68</v>
      </c>
      <c r="I24">
        <f>SQRT((A24-N24)^2+(B24-O24)^2+(C24-P24)^2+(D24-Q24)^2+(E24-R24)^2+(F24-S24)^2+(G24-T24)^2)</f>
        <v>25.80697580112788</v>
      </c>
      <c r="J24" s="2">
        <f t="shared" si="2"/>
        <v>23</v>
      </c>
      <c r="N24" s="1">
        <v>10</v>
      </c>
      <c r="O24" s="1">
        <v>12</v>
      </c>
      <c r="P24" s="1">
        <v>9</v>
      </c>
      <c r="Q24" s="1">
        <v>0</v>
      </c>
      <c r="R24" s="1">
        <v>6</v>
      </c>
      <c r="S24" s="1">
        <v>2</v>
      </c>
      <c r="T24" s="1">
        <v>10</v>
      </c>
    </row>
    <row r="25" spans="1:20" x14ac:dyDescent="0.25">
      <c r="A25" s="1">
        <v>8</v>
      </c>
      <c r="B25" s="1">
        <v>13</v>
      </c>
      <c r="C25" s="1">
        <v>2</v>
      </c>
      <c r="D25" s="1">
        <v>18</v>
      </c>
      <c r="E25" s="1">
        <v>19</v>
      </c>
      <c r="F25" s="1">
        <v>9</v>
      </c>
      <c r="G25" s="1">
        <v>0</v>
      </c>
      <c r="H25" s="1">
        <v>39</v>
      </c>
      <c r="I25">
        <f>SQRT((A25-N25)^2+(B25-O25)^2+(C25-P25)^2+(D25-Q25)^2+(E25-R25)^2+(F25-S25)^2+(G25-T25)^2)</f>
        <v>26.381811916545839</v>
      </c>
      <c r="J25" s="2">
        <f t="shared" si="2"/>
        <v>24</v>
      </c>
      <c r="N25" s="1">
        <v>10</v>
      </c>
      <c r="O25" s="1">
        <v>12</v>
      </c>
      <c r="P25" s="1">
        <v>9</v>
      </c>
      <c r="Q25" s="1">
        <v>0</v>
      </c>
      <c r="R25" s="1">
        <v>6</v>
      </c>
      <c r="S25" s="1">
        <v>2</v>
      </c>
      <c r="T25" s="1">
        <v>10</v>
      </c>
    </row>
    <row r="26" spans="1:20" x14ac:dyDescent="0.25">
      <c r="A26" s="1"/>
      <c r="B26" s="1"/>
      <c r="C26" s="1"/>
      <c r="D26" s="1"/>
      <c r="E26" s="1"/>
      <c r="F26" s="1"/>
      <c r="G26" s="1"/>
      <c r="H26" s="1"/>
    </row>
  </sheetData>
  <sortState xmlns:xlrd2="http://schemas.microsoft.com/office/spreadsheetml/2017/richdata2" ref="A2:I25">
    <sortCondition ref="I2:I2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68D5-D2FD-417D-B1CC-2F5B6EBDDEB2}">
  <dimension ref="A1:T25"/>
  <sheetViews>
    <sheetView tabSelected="1" workbookViewId="0">
      <selection activeCell="J11" sqref="J1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12</v>
      </c>
      <c r="I1" s="1" t="s">
        <v>8</v>
      </c>
      <c r="J1" s="1" t="s">
        <v>9</v>
      </c>
      <c r="K1" s="1" t="s">
        <v>10</v>
      </c>
      <c r="L1" s="1"/>
      <c r="N1" s="1">
        <v>17</v>
      </c>
      <c r="O1" s="1">
        <v>6</v>
      </c>
      <c r="P1" s="1">
        <v>6</v>
      </c>
      <c r="Q1" s="1">
        <v>17</v>
      </c>
      <c r="R1" s="1">
        <v>6</v>
      </c>
      <c r="S1" s="1">
        <v>2</v>
      </c>
      <c r="T1" s="1">
        <v>10</v>
      </c>
    </row>
    <row r="2" spans="1:20" x14ac:dyDescent="0.25">
      <c r="A2" s="1">
        <v>17</v>
      </c>
      <c r="B2" s="1">
        <v>6</v>
      </c>
      <c r="C2" s="1">
        <v>6</v>
      </c>
      <c r="D2" s="1">
        <v>17</v>
      </c>
      <c r="E2" s="1">
        <v>6</v>
      </c>
      <c r="F2" s="1">
        <v>1</v>
      </c>
      <c r="G2" s="1">
        <v>10</v>
      </c>
      <c r="H2" s="6">
        <v>1</v>
      </c>
      <c r="I2">
        <f>SQRT((A2-N2)^2+(B2-O2)^2+(C2-P2)^2+(D2-Q2)^2+(E2-R2)^2+(F2-S2)^2+(G2-T2)^2)</f>
        <v>1</v>
      </c>
      <c r="J2" s="3">
        <v>1</v>
      </c>
      <c r="K2">
        <f>1/I2</f>
        <v>1</v>
      </c>
      <c r="L2">
        <f>K2</f>
        <v>1</v>
      </c>
      <c r="N2" s="1">
        <v>17</v>
      </c>
      <c r="O2" s="1">
        <v>6</v>
      </c>
      <c r="P2" s="1">
        <v>6</v>
      </c>
      <c r="Q2" s="1">
        <v>17</v>
      </c>
      <c r="R2" s="1">
        <v>6</v>
      </c>
      <c r="S2" s="1">
        <v>2</v>
      </c>
      <c r="T2" s="1">
        <v>10</v>
      </c>
    </row>
    <row r="3" spans="1:20" x14ac:dyDescent="0.25">
      <c r="A3" s="1">
        <v>17</v>
      </c>
      <c r="B3" s="1">
        <v>6</v>
      </c>
      <c r="C3" s="1">
        <v>6</v>
      </c>
      <c r="D3" s="1">
        <v>17</v>
      </c>
      <c r="E3" s="1">
        <v>6</v>
      </c>
      <c r="F3" s="1">
        <v>2</v>
      </c>
      <c r="G3" s="1">
        <v>9</v>
      </c>
      <c r="H3" s="6">
        <v>2</v>
      </c>
      <c r="I3" s="4">
        <f>SQRT((A3-N3)^2+(B3-O3)^2+(C3-P3)^2+(D3-Q3)^2+(E3-R3)^2+(F3-S3)^2+(G3-T3)^2)</f>
        <v>1</v>
      </c>
      <c r="J3" s="5">
        <f>J2+1</f>
        <v>2</v>
      </c>
      <c r="K3">
        <f t="shared" ref="K3:K6" si="0">1/I3</f>
        <v>1</v>
      </c>
      <c r="L3">
        <f>K3+K6</f>
        <v>1.0633724250524479</v>
      </c>
      <c r="N3" s="1">
        <v>17</v>
      </c>
      <c r="O3" s="1">
        <v>6</v>
      </c>
      <c r="P3" s="1">
        <v>6</v>
      </c>
      <c r="Q3" s="1">
        <v>17</v>
      </c>
      <c r="R3" s="1">
        <v>6</v>
      </c>
      <c r="S3" s="1">
        <v>2</v>
      </c>
      <c r="T3" s="1">
        <v>10</v>
      </c>
    </row>
    <row r="4" spans="1:20" x14ac:dyDescent="0.25">
      <c r="A4" s="1">
        <v>12</v>
      </c>
      <c r="B4" s="1">
        <v>11</v>
      </c>
      <c r="C4" s="1">
        <v>9</v>
      </c>
      <c r="D4" s="1">
        <v>10</v>
      </c>
      <c r="E4" s="1">
        <v>7</v>
      </c>
      <c r="F4" s="1">
        <v>7</v>
      </c>
      <c r="G4" s="1">
        <v>12</v>
      </c>
      <c r="H4" s="6">
        <v>0</v>
      </c>
      <c r="I4" s="4">
        <f>SQRT((A4-N4)^2+(B4-O4)^2+(C4-P4)^2+(D4-Q4)^2+(E4-R4)^2+(F4-S4)^2+(G4-T4)^2)</f>
        <v>11.74734012447073</v>
      </c>
      <c r="J4" s="5">
        <f t="shared" ref="J4:J25" si="1">J3+1</f>
        <v>3</v>
      </c>
      <c r="K4">
        <f t="shared" si="0"/>
        <v>8.5125653075874858E-2</v>
      </c>
      <c r="L4">
        <f>K4+K5</f>
        <v>0.14875412937345261</v>
      </c>
      <c r="N4" s="1">
        <v>17</v>
      </c>
      <c r="O4" s="1">
        <v>6</v>
      </c>
      <c r="P4" s="1">
        <v>6</v>
      </c>
      <c r="Q4" s="1">
        <v>17</v>
      </c>
      <c r="R4" s="1">
        <v>6</v>
      </c>
      <c r="S4" s="1">
        <v>2</v>
      </c>
      <c r="T4" s="1">
        <v>10</v>
      </c>
    </row>
    <row r="5" spans="1:20" x14ac:dyDescent="0.25">
      <c r="A5" s="1">
        <v>15</v>
      </c>
      <c r="B5" s="1">
        <v>1</v>
      </c>
      <c r="C5" s="1">
        <v>4</v>
      </c>
      <c r="D5" s="1">
        <v>5</v>
      </c>
      <c r="E5" s="1">
        <v>12</v>
      </c>
      <c r="F5" s="1">
        <v>7</v>
      </c>
      <c r="G5" s="1">
        <v>7</v>
      </c>
      <c r="H5" s="6">
        <v>2</v>
      </c>
      <c r="I5">
        <f>SQRT((A5-N5)^2+(B5-O5)^2+(C5-P5)^2+(D5-Q5)^2+(E5-R5)^2+(F5-S5)^2+(G5-T5)^2)</f>
        <v>15.716233645501712</v>
      </c>
      <c r="J5" s="5">
        <f t="shared" si="1"/>
        <v>4</v>
      </c>
      <c r="K5">
        <f t="shared" si="0"/>
        <v>6.3628476297577771E-2</v>
      </c>
      <c r="N5" s="1">
        <v>17</v>
      </c>
      <c r="O5" s="1">
        <v>6</v>
      </c>
      <c r="P5" s="1">
        <v>6</v>
      </c>
      <c r="Q5" s="1">
        <v>17</v>
      </c>
      <c r="R5" s="1">
        <v>6</v>
      </c>
      <c r="S5" s="1">
        <v>2</v>
      </c>
      <c r="T5" s="1">
        <v>10</v>
      </c>
    </row>
    <row r="6" spans="1:20" x14ac:dyDescent="0.25">
      <c r="A6" s="1">
        <v>13</v>
      </c>
      <c r="B6" s="1">
        <v>3</v>
      </c>
      <c r="C6" s="1">
        <v>14</v>
      </c>
      <c r="D6" s="1">
        <v>13</v>
      </c>
      <c r="E6" s="1">
        <v>18</v>
      </c>
      <c r="F6" s="1">
        <v>2</v>
      </c>
      <c r="G6" s="1">
        <v>10</v>
      </c>
      <c r="H6" s="6">
        <v>0</v>
      </c>
      <c r="I6">
        <f>SQRT((A6-N6)^2+(B6-O6)^2+(C6-P6)^2+(D6-Q6)^2+(E6-R6)^2+(F6-S6)^2+(G6-T6)^2)</f>
        <v>15.779733838059499</v>
      </c>
      <c r="J6" s="5">
        <f t="shared" si="1"/>
        <v>5</v>
      </c>
      <c r="K6">
        <f t="shared" si="0"/>
        <v>6.3372425052447792E-2</v>
      </c>
      <c r="N6" s="1">
        <v>17</v>
      </c>
      <c r="O6" s="1">
        <v>6</v>
      </c>
      <c r="P6" s="1">
        <v>6</v>
      </c>
      <c r="Q6" s="1">
        <v>17</v>
      </c>
      <c r="R6" s="1">
        <v>6</v>
      </c>
      <c r="S6" s="1">
        <v>2</v>
      </c>
      <c r="T6" s="1">
        <v>10</v>
      </c>
    </row>
    <row r="7" spans="1:20" x14ac:dyDescent="0.25">
      <c r="A7" s="1">
        <v>14</v>
      </c>
      <c r="B7" s="1">
        <v>17</v>
      </c>
      <c r="C7" s="1">
        <v>7</v>
      </c>
      <c r="D7" s="1">
        <v>14</v>
      </c>
      <c r="E7" s="1">
        <v>4</v>
      </c>
      <c r="F7" s="1">
        <v>10</v>
      </c>
      <c r="G7" s="1">
        <v>16</v>
      </c>
      <c r="H7" s="6">
        <v>2</v>
      </c>
      <c r="I7">
        <f>SQRT((A7-N7)^2+(B7-O7)^2+(C7-P7)^2+(D7-Q7)^2+(E7-R7)^2+(F7-S7)^2+(G7-T7)^2)</f>
        <v>15.620499351813308</v>
      </c>
      <c r="J7" s="2">
        <f t="shared" si="1"/>
        <v>6</v>
      </c>
      <c r="N7" s="1">
        <v>17</v>
      </c>
      <c r="O7" s="1">
        <v>6</v>
      </c>
      <c r="P7" s="1">
        <v>6</v>
      </c>
      <c r="Q7" s="1">
        <v>17</v>
      </c>
      <c r="R7" s="1">
        <v>6</v>
      </c>
      <c r="S7" s="1">
        <v>2</v>
      </c>
      <c r="T7" s="1">
        <v>10</v>
      </c>
    </row>
    <row r="8" spans="1:20" x14ac:dyDescent="0.25">
      <c r="A8" s="1">
        <v>8</v>
      </c>
      <c r="B8" s="1">
        <v>6</v>
      </c>
      <c r="C8" s="1">
        <v>8</v>
      </c>
      <c r="D8" s="1">
        <v>12</v>
      </c>
      <c r="E8" s="1">
        <v>1</v>
      </c>
      <c r="F8" s="1">
        <v>14</v>
      </c>
      <c r="G8" s="1">
        <v>16</v>
      </c>
      <c r="H8" s="6">
        <v>1</v>
      </c>
      <c r="I8">
        <f>SQRT((A8-N8)^2+(B8-O8)^2+(C8-P8)^2+(D8-Q8)^2+(E8-R8)^2+(F8-S8)^2+(G8-T8)^2)</f>
        <v>17.748239349298849</v>
      </c>
      <c r="J8" s="2">
        <f t="shared" si="1"/>
        <v>7</v>
      </c>
      <c r="N8" s="1">
        <v>17</v>
      </c>
      <c r="O8" s="1">
        <v>6</v>
      </c>
      <c r="P8" s="1">
        <v>6</v>
      </c>
      <c r="Q8" s="1">
        <v>17</v>
      </c>
      <c r="R8" s="1">
        <v>6</v>
      </c>
      <c r="S8" s="1">
        <v>2</v>
      </c>
      <c r="T8" s="1">
        <v>10</v>
      </c>
    </row>
    <row r="9" spans="1:20" x14ac:dyDescent="0.25">
      <c r="A9" s="1">
        <v>5</v>
      </c>
      <c r="B9" s="1">
        <v>9</v>
      </c>
      <c r="C9" s="1">
        <v>5</v>
      </c>
      <c r="D9" s="1">
        <v>16</v>
      </c>
      <c r="E9" s="1">
        <v>1</v>
      </c>
      <c r="F9" s="1">
        <v>12</v>
      </c>
      <c r="G9" s="1">
        <v>1</v>
      </c>
      <c r="H9" s="6">
        <v>1</v>
      </c>
      <c r="I9">
        <f>SQRT((A9-N9)^2+(B9-O9)^2+(C9-P9)^2+(D9-Q9)^2+(E9-R9)^2+(F9-S9)^2+(G9-T9)^2)</f>
        <v>19</v>
      </c>
      <c r="J9" s="2">
        <f t="shared" si="1"/>
        <v>8</v>
      </c>
      <c r="N9" s="1">
        <v>17</v>
      </c>
      <c r="O9" s="1">
        <v>6</v>
      </c>
      <c r="P9" s="1">
        <v>6</v>
      </c>
      <c r="Q9" s="1">
        <v>17</v>
      </c>
      <c r="R9" s="1">
        <v>6</v>
      </c>
      <c r="S9" s="1">
        <v>2</v>
      </c>
      <c r="T9" s="1">
        <v>10</v>
      </c>
    </row>
    <row r="10" spans="1:20" x14ac:dyDescent="0.25">
      <c r="A10" s="1">
        <v>0</v>
      </c>
      <c r="B10" s="1">
        <v>6</v>
      </c>
      <c r="C10" s="1">
        <v>13</v>
      </c>
      <c r="D10" s="1">
        <v>12</v>
      </c>
      <c r="E10" s="1">
        <v>8</v>
      </c>
      <c r="F10" s="1">
        <v>4</v>
      </c>
      <c r="G10" s="1">
        <v>11</v>
      </c>
      <c r="H10" s="6">
        <v>0</v>
      </c>
      <c r="I10">
        <f>SQRT((A10-N10)^2+(B10-O10)^2+(C10-P10)^2+(D10-Q10)^2+(E10-R10)^2+(F10-S10)^2+(G10-T10)^2)</f>
        <v>19.28730152198591</v>
      </c>
      <c r="J10" s="2">
        <f t="shared" si="1"/>
        <v>9</v>
      </c>
      <c r="N10" s="1">
        <v>17</v>
      </c>
      <c r="O10" s="1">
        <v>6</v>
      </c>
      <c r="P10" s="1">
        <v>6</v>
      </c>
      <c r="Q10" s="1">
        <v>17</v>
      </c>
      <c r="R10" s="1">
        <v>6</v>
      </c>
      <c r="S10" s="1">
        <v>2</v>
      </c>
      <c r="T10" s="1">
        <v>10</v>
      </c>
    </row>
    <row r="11" spans="1:20" x14ac:dyDescent="0.25">
      <c r="A11" s="1">
        <v>11</v>
      </c>
      <c r="B11" s="1">
        <v>14</v>
      </c>
      <c r="C11" s="1">
        <v>9</v>
      </c>
      <c r="D11" s="1">
        <v>0</v>
      </c>
      <c r="E11" s="1">
        <v>7</v>
      </c>
      <c r="F11" s="1">
        <v>2</v>
      </c>
      <c r="G11" s="1">
        <v>9</v>
      </c>
      <c r="H11" s="6">
        <v>2</v>
      </c>
      <c r="I11" s="4">
        <f>SQRT((A11-N11)^2+(B11-O11)^2+(C11-P11)^2+(D11-Q11)^2+(E11-R11)^2+(F11-S11)^2+(G11-T11)^2)</f>
        <v>20</v>
      </c>
      <c r="J11" s="2">
        <f t="shared" si="1"/>
        <v>10</v>
      </c>
      <c r="N11" s="1">
        <v>17</v>
      </c>
      <c r="O11" s="1">
        <v>6</v>
      </c>
      <c r="P11" s="1">
        <v>6</v>
      </c>
      <c r="Q11" s="1">
        <v>17</v>
      </c>
      <c r="R11" s="1">
        <v>6</v>
      </c>
      <c r="S11" s="1">
        <v>2</v>
      </c>
      <c r="T11" s="1">
        <v>10</v>
      </c>
    </row>
    <row r="12" spans="1:20" x14ac:dyDescent="0.25">
      <c r="A12" s="1">
        <v>7</v>
      </c>
      <c r="B12" s="1">
        <v>2</v>
      </c>
      <c r="C12" s="1">
        <v>3</v>
      </c>
      <c r="D12" s="1">
        <v>7</v>
      </c>
      <c r="E12" s="1">
        <v>19</v>
      </c>
      <c r="F12" s="1">
        <v>4</v>
      </c>
      <c r="G12" s="1">
        <v>17</v>
      </c>
      <c r="H12" s="6">
        <v>1</v>
      </c>
      <c r="I12">
        <f>SQRT((A12-N12)^2+(B12-O12)^2+(C12-P12)^2+(D12-Q12)^2+(E12-R12)^2+(F12-S12)^2+(G12-T12)^2)</f>
        <v>21.142374511865974</v>
      </c>
      <c r="J12" s="2">
        <f t="shared" si="1"/>
        <v>11</v>
      </c>
      <c r="N12" s="1">
        <v>17</v>
      </c>
      <c r="O12" s="1">
        <v>6</v>
      </c>
      <c r="P12" s="1">
        <v>6</v>
      </c>
      <c r="Q12" s="1">
        <v>17</v>
      </c>
      <c r="R12" s="1">
        <v>6</v>
      </c>
      <c r="S12" s="1">
        <v>2</v>
      </c>
      <c r="T12" s="1">
        <v>10</v>
      </c>
    </row>
    <row r="13" spans="1:20" x14ac:dyDescent="0.25">
      <c r="A13" s="1">
        <v>9</v>
      </c>
      <c r="B13" s="1">
        <v>4</v>
      </c>
      <c r="C13" s="1">
        <v>8</v>
      </c>
      <c r="D13" s="1">
        <v>9</v>
      </c>
      <c r="E13" s="1">
        <v>18</v>
      </c>
      <c r="F13" s="1">
        <v>14</v>
      </c>
      <c r="G13" s="1">
        <v>15</v>
      </c>
      <c r="H13" s="6">
        <v>1</v>
      </c>
      <c r="I13">
        <f>SQRT((A13-N13)^2+(B13-O13)^2+(C13-P13)^2+(D13-Q13)^2+(E13-R13)^2+(F13-S13)^2+(G13-T13)^2)</f>
        <v>21.189620100417091</v>
      </c>
      <c r="J13" s="2">
        <f t="shared" si="1"/>
        <v>12</v>
      </c>
      <c r="N13" s="1">
        <v>17</v>
      </c>
      <c r="O13" s="1">
        <v>6</v>
      </c>
      <c r="P13" s="1">
        <v>6</v>
      </c>
      <c r="Q13" s="1">
        <v>17</v>
      </c>
      <c r="R13" s="1">
        <v>6</v>
      </c>
      <c r="S13" s="1">
        <v>2</v>
      </c>
      <c r="T13" s="1">
        <v>10</v>
      </c>
    </row>
    <row r="14" spans="1:20" x14ac:dyDescent="0.25">
      <c r="A14" s="1">
        <v>17</v>
      </c>
      <c r="B14" s="1">
        <v>2</v>
      </c>
      <c r="C14" s="1">
        <v>13</v>
      </c>
      <c r="D14" s="1">
        <v>11</v>
      </c>
      <c r="E14" s="1">
        <v>17</v>
      </c>
      <c r="F14" s="1">
        <v>16</v>
      </c>
      <c r="G14" s="1">
        <v>4</v>
      </c>
      <c r="H14" s="6">
        <v>1</v>
      </c>
      <c r="I14">
        <f>SQRT((A14-N14)^2+(B14-O14)^2+(C14-P14)^2+(D14-Q14)^2+(E14-R14)^2+(F14-S14)^2+(G14-T14)^2)</f>
        <v>21.307275752662516</v>
      </c>
      <c r="J14" s="2">
        <f t="shared" si="1"/>
        <v>13</v>
      </c>
      <c r="N14" s="1">
        <v>17</v>
      </c>
      <c r="O14" s="1">
        <v>6</v>
      </c>
      <c r="P14" s="1">
        <v>6</v>
      </c>
      <c r="Q14" s="1">
        <v>17</v>
      </c>
      <c r="R14" s="1">
        <v>6</v>
      </c>
      <c r="S14" s="1">
        <v>2</v>
      </c>
      <c r="T14" s="1">
        <v>10</v>
      </c>
    </row>
    <row r="15" spans="1:20" x14ac:dyDescent="0.25">
      <c r="A15" s="1">
        <v>5</v>
      </c>
      <c r="B15" s="1">
        <v>2</v>
      </c>
      <c r="C15" s="1">
        <v>12</v>
      </c>
      <c r="D15" s="1">
        <v>5</v>
      </c>
      <c r="E15" s="1">
        <v>14</v>
      </c>
      <c r="F15" s="1">
        <v>8</v>
      </c>
      <c r="G15" s="1">
        <v>14</v>
      </c>
      <c r="H15" s="6">
        <v>0</v>
      </c>
      <c r="I15">
        <f>SQRT((A15-N15)^2+(B15-O15)^2+(C15-P15)^2+(D15-Q15)^2+(E15-R15)^2+(F15-S15)^2+(G15-T15)^2)</f>
        <v>21.354156504062622</v>
      </c>
      <c r="J15" s="2">
        <f t="shared" si="1"/>
        <v>14</v>
      </c>
      <c r="N15" s="1">
        <v>17</v>
      </c>
      <c r="O15" s="1">
        <v>6</v>
      </c>
      <c r="P15" s="1">
        <v>6</v>
      </c>
      <c r="Q15" s="1">
        <v>17</v>
      </c>
      <c r="R15" s="1">
        <v>6</v>
      </c>
      <c r="S15" s="1">
        <v>2</v>
      </c>
      <c r="T15" s="1">
        <v>10</v>
      </c>
    </row>
    <row r="16" spans="1:20" x14ac:dyDescent="0.25">
      <c r="A16" s="1">
        <v>2</v>
      </c>
      <c r="B16" s="1">
        <v>3</v>
      </c>
      <c r="C16" s="1">
        <v>8</v>
      </c>
      <c r="D16" s="1">
        <v>10</v>
      </c>
      <c r="E16" s="1">
        <v>13</v>
      </c>
      <c r="F16" s="1">
        <v>13</v>
      </c>
      <c r="G16" s="1">
        <v>12</v>
      </c>
      <c r="H16" s="6">
        <v>2</v>
      </c>
      <c r="I16">
        <f>SQRT((A16-N16)^2+(B16-O16)^2+(C16-P16)^2+(D16-Q16)^2+(E16-R16)^2+(F16-S16)^2+(G16-T16)^2)</f>
        <v>21.470910553583888</v>
      </c>
      <c r="J16" s="2">
        <f t="shared" si="1"/>
        <v>15</v>
      </c>
      <c r="N16" s="1">
        <v>17</v>
      </c>
      <c r="O16" s="1">
        <v>6</v>
      </c>
      <c r="P16" s="1">
        <v>6</v>
      </c>
      <c r="Q16" s="1">
        <v>17</v>
      </c>
      <c r="R16" s="1">
        <v>6</v>
      </c>
      <c r="S16" s="1">
        <v>2</v>
      </c>
      <c r="T16" s="1">
        <v>10</v>
      </c>
    </row>
    <row r="17" spans="1:20" x14ac:dyDescent="0.25">
      <c r="A17" s="1">
        <v>0</v>
      </c>
      <c r="B17" s="1">
        <v>2</v>
      </c>
      <c r="C17" s="1">
        <v>10</v>
      </c>
      <c r="D17" s="1">
        <v>15</v>
      </c>
      <c r="E17" s="1">
        <v>0</v>
      </c>
      <c r="F17" s="1">
        <v>4</v>
      </c>
      <c r="G17" s="1">
        <v>20</v>
      </c>
      <c r="H17" s="6">
        <v>2</v>
      </c>
      <c r="I17">
        <f>SQRT((A17-N17)^2+(B17-O17)^2+(C17-P17)^2+(D17-Q17)^2+(E17-R17)^2+(F17-S17)^2+(G17-T17)^2)</f>
        <v>21.563858652847824</v>
      </c>
      <c r="J17" s="2">
        <f t="shared" si="1"/>
        <v>16</v>
      </c>
      <c r="N17" s="1">
        <v>17</v>
      </c>
      <c r="O17" s="1">
        <v>6</v>
      </c>
      <c r="P17" s="1">
        <v>6</v>
      </c>
      <c r="Q17" s="1">
        <v>17</v>
      </c>
      <c r="R17" s="1">
        <v>6</v>
      </c>
      <c r="S17" s="1">
        <v>2</v>
      </c>
      <c r="T17" s="1">
        <v>10</v>
      </c>
    </row>
    <row r="18" spans="1:20" x14ac:dyDescent="0.25">
      <c r="A18" s="1">
        <v>8</v>
      </c>
      <c r="B18" s="1">
        <v>13</v>
      </c>
      <c r="C18" s="1">
        <v>2</v>
      </c>
      <c r="D18" s="1">
        <v>18</v>
      </c>
      <c r="E18" s="1">
        <v>19</v>
      </c>
      <c r="F18" s="1">
        <v>9</v>
      </c>
      <c r="G18" s="1">
        <v>0</v>
      </c>
      <c r="H18" s="6">
        <v>1</v>
      </c>
      <c r="I18">
        <f>SQRT((A18-N18)^2+(B18-O18)^2+(C18-P18)^2+(D18-Q18)^2+(E18-R18)^2+(F18-S18)^2+(G18-T18)^2)</f>
        <v>21.563858652847824</v>
      </c>
      <c r="J18" s="2">
        <f t="shared" si="1"/>
        <v>17</v>
      </c>
      <c r="N18" s="1">
        <v>17</v>
      </c>
      <c r="O18" s="1">
        <v>6</v>
      </c>
      <c r="P18" s="1">
        <v>6</v>
      </c>
      <c r="Q18" s="1">
        <v>17</v>
      </c>
      <c r="R18" s="1">
        <v>6</v>
      </c>
      <c r="S18" s="1">
        <v>2</v>
      </c>
      <c r="T18" s="1">
        <v>10</v>
      </c>
    </row>
    <row r="19" spans="1:20" x14ac:dyDescent="0.25">
      <c r="A19" s="1">
        <v>12</v>
      </c>
      <c r="B19" s="1">
        <v>12</v>
      </c>
      <c r="C19" s="1">
        <v>9</v>
      </c>
      <c r="D19" s="1">
        <v>0</v>
      </c>
      <c r="E19" s="1">
        <v>14</v>
      </c>
      <c r="F19" s="1">
        <v>7</v>
      </c>
      <c r="G19" s="1">
        <v>2</v>
      </c>
      <c r="H19" s="6">
        <v>1</v>
      </c>
      <c r="I19" s="4">
        <f>SQRT((A19-N19)^2+(B19-O19)^2+(C19-P19)^2+(D19-Q19)^2+(E19-R19)^2+(F19-S19)^2+(G19-T19)^2)</f>
        <v>22.627416997969522</v>
      </c>
      <c r="J19" s="2">
        <f t="shared" si="1"/>
        <v>18</v>
      </c>
      <c r="N19" s="1">
        <v>17</v>
      </c>
      <c r="O19" s="1">
        <v>6</v>
      </c>
      <c r="P19" s="1">
        <v>6</v>
      </c>
      <c r="Q19" s="1">
        <v>17</v>
      </c>
      <c r="R19" s="1">
        <v>6</v>
      </c>
      <c r="S19" s="1">
        <v>2</v>
      </c>
      <c r="T19" s="1">
        <v>10</v>
      </c>
    </row>
    <row r="20" spans="1:20" x14ac:dyDescent="0.25">
      <c r="A20" s="1">
        <v>18</v>
      </c>
      <c r="B20" s="1">
        <v>19</v>
      </c>
      <c r="C20" s="1">
        <v>11</v>
      </c>
      <c r="D20" s="1">
        <v>2</v>
      </c>
      <c r="E20" s="1">
        <v>5</v>
      </c>
      <c r="F20" s="1">
        <v>6</v>
      </c>
      <c r="G20" s="1">
        <v>18</v>
      </c>
      <c r="H20" s="6">
        <v>1</v>
      </c>
      <c r="I20" s="4">
        <f>SQRT((A20-N20)^2+(B20-O20)^2+(C20-P20)^2+(D20-Q20)^2+(E20-R20)^2+(F20-S20)^2+(G20-T20)^2)</f>
        <v>22.383029285599392</v>
      </c>
      <c r="J20" s="2">
        <f t="shared" si="1"/>
        <v>19</v>
      </c>
      <c r="N20" s="1">
        <v>17</v>
      </c>
      <c r="O20" s="1">
        <v>6</v>
      </c>
      <c r="P20" s="1">
        <v>6</v>
      </c>
      <c r="Q20" s="1">
        <v>17</v>
      </c>
      <c r="R20" s="1">
        <v>6</v>
      </c>
      <c r="S20" s="1">
        <v>2</v>
      </c>
      <c r="T20" s="1">
        <v>10</v>
      </c>
    </row>
    <row r="21" spans="1:20" x14ac:dyDescent="0.25">
      <c r="A21" s="1">
        <v>14</v>
      </c>
      <c r="B21" s="1">
        <v>8</v>
      </c>
      <c r="C21" s="1">
        <v>20</v>
      </c>
      <c r="D21" s="1">
        <v>8</v>
      </c>
      <c r="E21" s="1">
        <v>20</v>
      </c>
      <c r="F21" s="1">
        <v>9</v>
      </c>
      <c r="G21" s="1">
        <v>1</v>
      </c>
      <c r="H21" s="6">
        <v>2</v>
      </c>
      <c r="I21">
        <f>SQRT((A21-N21)^2+(B21-O21)^2+(C21-P21)^2+(D21-Q21)^2+(E21-R21)^2+(F21-S21)^2+(G21-T21)^2)</f>
        <v>24.819347291981714</v>
      </c>
      <c r="J21" s="2">
        <f t="shared" si="1"/>
        <v>20</v>
      </c>
      <c r="N21" s="1">
        <v>17</v>
      </c>
      <c r="O21" s="1">
        <v>6</v>
      </c>
      <c r="P21" s="1">
        <v>6</v>
      </c>
      <c r="Q21" s="1">
        <v>17</v>
      </c>
      <c r="R21" s="1">
        <v>6</v>
      </c>
      <c r="S21" s="1">
        <v>2</v>
      </c>
      <c r="T21" s="1">
        <v>10</v>
      </c>
    </row>
    <row r="22" spans="1:20" x14ac:dyDescent="0.25">
      <c r="A22" s="1">
        <v>4</v>
      </c>
      <c r="B22" s="1">
        <v>9</v>
      </c>
      <c r="C22" s="1">
        <v>18</v>
      </c>
      <c r="D22" s="1">
        <v>7</v>
      </c>
      <c r="E22" s="1">
        <v>6</v>
      </c>
      <c r="F22" s="1">
        <v>13</v>
      </c>
      <c r="G22" s="1">
        <v>19</v>
      </c>
      <c r="H22" s="6">
        <v>2</v>
      </c>
      <c r="I22">
        <f>SQRT((A22-N22)^2+(B22-O22)^2+(C22-P22)^2+(D22-Q22)^2+(E22-R22)^2+(F22-S22)^2+(G22-T22)^2)</f>
        <v>24.979991993593593</v>
      </c>
      <c r="J22" s="2">
        <f t="shared" si="1"/>
        <v>21</v>
      </c>
      <c r="N22" s="1">
        <v>17</v>
      </c>
      <c r="O22" s="1">
        <v>6</v>
      </c>
      <c r="P22" s="1">
        <v>6</v>
      </c>
      <c r="Q22" s="1">
        <v>17</v>
      </c>
      <c r="R22" s="1">
        <v>6</v>
      </c>
      <c r="S22" s="1">
        <v>2</v>
      </c>
      <c r="T22" s="1">
        <v>10</v>
      </c>
    </row>
    <row r="23" spans="1:20" x14ac:dyDescent="0.25">
      <c r="A23" s="1">
        <v>0</v>
      </c>
      <c r="B23" s="1">
        <v>20</v>
      </c>
      <c r="C23" s="1">
        <v>15</v>
      </c>
      <c r="D23" s="1">
        <v>7</v>
      </c>
      <c r="E23" s="1">
        <v>13</v>
      </c>
      <c r="F23" s="1">
        <v>2</v>
      </c>
      <c r="G23" s="1">
        <v>16</v>
      </c>
      <c r="H23" s="6">
        <v>2</v>
      </c>
      <c r="I23">
        <f>SQRT((A23-N23)^2+(B23-O23)^2+(C23-P23)^2+(D23-Q23)^2+(E23-R23)^2+(F23-S23)^2+(G23-T23)^2)</f>
        <v>27.404379212089442</v>
      </c>
      <c r="J23" s="2">
        <f t="shared" si="1"/>
        <v>22</v>
      </c>
      <c r="N23" s="1">
        <v>17</v>
      </c>
      <c r="O23" s="1">
        <v>6</v>
      </c>
      <c r="P23" s="1">
        <v>6</v>
      </c>
      <c r="Q23" s="1">
        <v>17</v>
      </c>
      <c r="R23" s="1">
        <v>6</v>
      </c>
      <c r="S23" s="1">
        <v>2</v>
      </c>
      <c r="T23" s="1">
        <v>10</v>
      </c>
    </row>
    <row r="24" spans="1:20" x14ac:dyDescent="0.25">
      <c r="A24" s="1">
        <v>8</v>
      </c>
      <c r="B24" s="1">
        <v>5</v>
      </c>
      <c r="C24" s="1">
        <v>15</v>
      </c>
      <c r="D24" s="1">
        <v>5</v>
      </c>
      <c r="E24" s="1">
        <v>20</v>
      </c>
      <c r="F24" s="1">
        <v>18</v>
      </c>
      <c r="G24" s="1">
        <v>0</v>
      </c>
      <c r="H24" s="6">
        <v>2</v>
      </c>
      <c r="I24">
        <f>SQRT((A24-N24)^2+(B24-O24)^2+(C24-P24)^2+(D24-Q24)^2+(E24-R24)^2+(F24-S24)^2+(G24-T24)^2)</f>
        <v>29.308701779505689</v>
      </c>
      <c r="J24" s="2">
        <f t="shared" si="1"/>
        <v>23</v>
      </c>
      <c r="N24" s="1">
        <v>17</v>
      </c>
      <c r="O24" s="1">
        <v>6</v>
      </c>
      <c r="P24" s="1">
        <v>6</v>
      </c>
      <c r="Q24" s="1">
        <v>17</v>
      </c>
      <c r="R24" s="1">
        <v>6</v>
      </c>
      <c r="S24" s="1">
        <v>2</v>
      </c>
      <c r="T24" s="1">
        <v>10</v>
      </c>
    </row>
    <row r="25" spans="1:20" x14ac:dyDescent="0.25">
      <c r="A25" s="1">
        <v>2</v>
      </c>
      <c r="B25" s="1">
        <v>14</v>
      </c>
      <c r="C25" s="1">
        <v>18</v>
      </c>
      <c r="D25" s="1">
        <v>2</v>
      </c>
      <c r="E25" s="1">
        <v>17</v>
      </c>
      <c r="F25" s="1">
        <v>16</v>
      </c>
      <c r="G25" s="1">
        <v>18</v>
      </c>
      <c r="H25" s="6">
        <v>2</v>
      </c>
      <c r="I25">
        <f>SQRT((A25-N25)^2+(B25-O25)^2+(C25-P25)^2+(D25-Q25)^2+(E25-R25)^2+(F25-S25)^2+(G25-T25)^2)</f>
        <v>32.233522922572398</v>
      </c>
      <c r="J25" s="2">
        <f t="shared" si="1"/>
        <v>24</v>
      </c>
      <c r="N25" s="1">
        <v>17</v>
      </c>
      <c r="O25" s="1">
        <v>6</v>
      </c>
      <c r="P25" s="1">
        <v>6</v>
      </c>
      <c r="Q25" s="1">
        <v>17</v>
      </c>
      <c r="R25" s="1">
        <v>6</v>
      </c>
      <c r="S25" s="1">
        <v>2</v>
      </c>
      <c r="T25" s="1">
        <v>10</v>
      </c>
    </row>
  </sheetData>
  <sortState xmlns:xlrd2="http://schemas.microsoft.com/office/spreadsheetml/2017/richdata2" ref="A2:I25">
    <sortCondition ref="I2:I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MMPCFUB License5</dc:creator>
  <cp:lastModifiedBy>MMPCFUB License5</cp:lastModifiedBy>
  <dcterms:created xsi:type="dcterms:W3CDTF">2026-06-04T09:20:58Z</dcterms:created>
  <dcterms:modified xsi:type="dcterms:W3CDTF">2026-06-04T09:56:53Z</dcterms:modified>
</cp:coreProperties>
</file>